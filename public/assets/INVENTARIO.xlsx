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ario"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tc={b746d2a6-3fc4-45bf-823e-bad788c947ba}</author>
  </authors>
  <commentList>
    <comment authorId="0" xr:uid="{b746d2a6-3fc4-45bf-823e-bad788c947ba}" ref="A6">
      <text>
        <t xml:space="preserve">[Threaded comment]
 Your version of Excel allows you to read this threaded comment; however, any edits to it will get removed if the file is opened in a newer version of Excel. Learn more: https://go.microsoft.com/fwlink/?linkid=870924
Comment:
	cambiar por "Lycium"
LY
</t>
      </text>
    </comment>
  </commentList>
</comments>
</file>

<file path=xl/sharedStrings.xml><?xml version="1.0" encoding="utf-8"?>
<sst xmlns="http://schemas.openxmlformats.org/spreadsheetml/2006/main" count="165" uniqueCount="78">
  <si>
    <t>ID</t>
  </si>
  <si>
    <t xml:space="preserve">Nombre </t>
  </si>
  <si>
    <t>Nombre científico</t>
  </si>
  <si>
    <t>Tipo</t>
  </si>
  <si>
    <t>Fecha de plantación</t>
  </si>
  <si>
    <t>Tiempo de plantación (meses)</t>
  </si>
  <si>
    <t>Altura (cm)</t>
  </si>
  <si>
    <t>Coordenadas (lat, lon)</t>
  </si>
  <si>
    <t>Procedencia</t>
  </si>
  <si>
    <t>Estado</t>
  </si>
  <si>
    <t>Notas</t>
  </si>
  <si>
    <t>QY000</t>
  </si>
  <si>
    <t>-32.85790, -70.65715</t>
  </si>
  <si>
    <t>Pumahuida</t>
  </si>
  <si>
    <t>Robado/vandalizado</t>
  </si>
  <si>
    <t>CY000</t>
  </si>
  <si>
    <t>-32.85806, -70.65710</t>
  </si>
  <si>
    <t>Vivo</t>
  </si>
  <si>
    <t>Sin marcar en terreno</t>
  </si>
  <si>
    <t>CY001</t>
  </si>
  <si>
    <t>-32.85827, -70.65708</t>
  </si>
  <si>
    <t>CO000</t>
  </si>
  <si>
    <t>-32.85808, -70.65725</t>
  </si>
  <si>
    <t>CO001</t>
  </si>
  <si>
    <t>-32.85807, -70.65706</t>
  </si>
  <si>
    <t>MC000</t>
  </si>
  <si>
    <t>-32.85806, -70.65707</t>
  </si>
  <si>
    <t>MC001</t>
  </si>
  <si>
    <t>-32.85807, -70.65704</t>
  </si>
  <si>
    <t>RM000</t>
  </si>
  <si>
    <t>-32.85809, -70.65722</t>
  </si>
  <si>
    <t>BE000</t>
  </si>
  <si>
    <t>-32.85804 -70.65697</t>
  </si>
  <si>
    <t>CH000</t>
  </si>
  <si>
    <t>-32.85805, -70.65735</t>
  </si>
  <si>
    <t>HG000</t>
  </si>
  <si>
    <t>-32.85806, -70.65718</t>
  </si>
  <si>
    <t>AZ000</t>
  </si>
  <si>
    <t>Pumahuida (D)</t>
  </si>
  <si>
    <t>CY002</t>
  </si>
  <si>
    <t>-32.85807, -70.65688</t>
  </si>
  <si>
    <t>HG001</t>
  </si>
  <si>
    <t>-32.85816, -70.65690</t>
  </si>
  <si>
    <t>HG002</t>
  </si>
  <si>
    <t>-32.85801, -70.65709</t>
  </si>
  <si>
    <t>HG003</t>
  </si>
  <si>
    <t>-32.85808, -70.65741</t>
  </si>
  <si>
    <t>HG004</t>
  </si>
  <si>
    <t>-32.85798, -70.65755</t>
  </si>
  <si>
    <t>HG005</t>
  </si>
  <si>
    <t>(mapa G)</t>
  </si>
  <si>
    <t>LT000</t>
  </si>
  <si>
    <t>LT001</t>
  </si>
  <si>
    <t>-32.85796, -70.65740</t>
  </si>
  <si>
    <t>LT002</t>
  </si>
  <si>
    <t>-32.85804, -70.65734</t>
  </si>
  <si>
    <t>PM000</t>
  </si>
  <si>
    <t>QY001</t>
  </si>
  <si>
    <t>QY002</t>
  </si>
  <si>
    <t>AZ001</t>
  </si>
  <si>
    <t>etiqueta hecha - Sin marcar en terreno</t>
  </si>
  <si>
    <t>CY003</t>
  </si>
  <si>
    <t>HG006</t>
  </si>
  <si>
    <t>HG007</t>
  </si>
  <si>
    <t>HG008</t>
  </si>
  <si>
    <t>HG009</t>
  </si>
  <si>
    <t>AZ</t>
  </si>
  <si>
    <t>HG010</t>
  </si>
  <si>
    <t>LT004</t>
  </si>
  <si>
    <t>LT005</t>
  </si>
  <si>
    <t>LT006</t>
  </si>
  <si>
    <t>LT007</t>
  </si>
  <si>
    <t>LT008</t>
  </si>
  <si>
    <t>LT009</t>
  </si>
  <si>
    <t>PM001</t>
  </si>
  <si>
    <t>PM002</t>
  </si>
  <si>
    <t>PM003</t>
  </si>
  <si>
    <t>QY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</si>
</sst>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4">
    <font>
      <sz val="10.0"/>
      <color rgb="FF000000"/>
      <name val="Arial"/>
      <scheme val="minor"/>
    </font>
    <font>
      <color theme="1"/>
      <name val="Arial"/>
      <scheme val="minor"/>
    </font>
    <font>
      <b/>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2"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3"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8">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color rgb="FF6AA84F"/>
      </font>
      <fill>
        <patternFill patternType="none"/>
      </fill>
      <border/>
    </dxf>
    <dxf>
      <font>
        <color rgb="FFFF9900"/>
      </font>
      <fill>
        <patternFill patternType="none"/>
      </fill>
      <border/>
    </dxf>
    <dxf>
      <font>
        <color rgb="FF4A86E8"/>
      </font>
      <fill>
        <patternFill patternType="none"/>
      </fill>
      <border/>
    </dxf>
  </dxfs>
  <tableStyles count="1">
    <tableStyle count="4" pivot="0" name="Invent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a Olguín" id="{235758d9-1e9d-4f0a-9404-b1da98625780}" providerId="google-sheets"/>
</x18tc:personList>
</file>

<file path=xl/tables/table1.xml><?xml version="1.0" encoding="utf-8"?>
<table xmlns="http://schemas.openxmlformats.org/spreadsheetml/2006/main" ref="A2:K46" displayName="inventario" name="inventario" id="1">
  <tableColumns count="11">
    <tableColumn name="ID" id="1"/>
    <tableColumn name="Nombre " id="2"/>
    <tableColumn name="Nombre científico" id="3"/>
    <tableColumn name="Tipo" id="4"/>
    <tableColumn name="Fecha de plantación" id="5"/>
    <tableColumn name="Tiempo de plantación (meses)" id="6"/>
    <tableColumn name="Altura (cm)" id="7"/>
    <tableColumn name="Coordenadas (lat, lon)" id="8"/>
    <tableColumn name="Procedencia" id="9"/>
    <tableColumn name="Estado" id="10"/>
    <tableColumn name="Notas" id="11"/>
  </tableColumns>
  <tableStyleInfo name="Invent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5-08-06T21:46:16.00" personId="{235758d9-1e9d-4f0a-9404-b1da98625780}" id="{b746d2a6-3fc4-45bf-823e-bad788c947ba}" done="0">
    <x18tc:text xml:space="preserve">cambiar por "Lycium"
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25"/>
    <col customWidth="1" min="2" max="2" width="14.75"/>
    <col customWidth="1" min="3" max="3" width="21.88"/>
    <col customWidth="1" min="4" max="4" width="12.0"/>
    <col customWidth="1" min="5" max="5" width="16.5"/>
    <col customWidth="1" min="6" max="6" width="14.63"/>
    <col customWidth="1" min="7" max="7" width="17.0"/>
    <col customWidth="1" min="8" max="8" width="25.13"/>
    <col customWidth="1" min="9" max="9" width="18.0"/>
    <col customWidth="1" min="10" max="10" width="21.13"/>
    <col customWidth="1" min="11" max="11" width="24.13"/>
  </cols>
  <sheetData>
    <row r="1">
      <c r="A1" s="1"/>
      <c r="B1" s="1"/>
      <c r="C1" s="1"/>
      <c r="D1" s="1"/>
      <c r="E1" s="1"/>
      <c r="F1" s="1"/>
      <c r="G1" s="1"/>
      <c r="H1" s="1"/>
      <c r="I1" s="1"/>
    </row>
    <row r="2" ht="22.5" customHeight="1">
      <c r="A2" s="2" t="s">
        <v>0</v>
      </c>
      <c r="B2" s="2" t="s">
        <v>1</v>
      </c>
      <c r="C2" s="2" t="s">
        <v>2</v>
      </c>
      <c r="D2" s="2" t="s">
        <v>3</v>
      </c>
      <c r="E2" s="2" t="s">
        <v>4</v>
      </c>
      <c r="F2" s="2" t="s">
        <v>5</v>
      </c>
      <c r="G2" s="2" t="s">
        <v>6</v>
      </c>
      <c r="H2" s="2" t="s">
        <v>7</v>
      </c>
      <c r="I2" s="2" t="s">
        <v>8</v>
      </c>
      <c r="J2" s="2" t="s">
        <v>9</v>
      </c>
      <c r="K2" s="2" t="s">
        <v>10</v>
      </c>
    </row>
    <row r="3" ht="22.5" customHeight="1">
      <c r="A3" s="3" t="s">
        <v>11</v>
      </c>
      <c r="B3" s="4" t="str">
        <f t="shared" ref="B3:B46" si="1">IFS(ISNUMBER(FIND("BE", A3)), "Bollén", ISNUMBER(FIND("CH", A3)), "Chañar", ISNUMBER(FIND("CY", A3)), "Colliguay", ISNUMBER(FIND("CO", A3)), "Coralillo", ISNUMBER(FIND("HG", A3)), "Huingán", ISNUMBER(FIND("MC", A3)), "Malva de Cerro", ISNUMBER(FIND("PM", A3)), "Pimiento", ISNUMBER(FIND("QY", A3)), "Quillay", ISNUMBER(FIND("RM", A3)), "Romerillo", ISNUMBER(FIND("LT", A3)), "Litre", ISNUMBER(FIND("AZ", A3)), "Azara")</f>
        <v>Quillay</v>
      </c>
      <c r="C3" s="5" t="str">
        <f t="shared" ref="C3:C46" si="2">IFS(ISNUMBER(FIND("BE", A3)), "Kageneckia oblonga", ISNUMBER(FIND("CH", A3)), "Geoffroea decorticans", ISNUMBER(FIND("CY", A3)), "Colliguaja odorifera", ISNUMBER(FIND("CO", A3)), "Lycium chilense", ISNUMBER(FIND("HG", A3)), "Schinus polygama", ISNUMBER(FIND("MC", A3)), "Sphaeralcea obtusiloba", ISNUMBER(FIND("PM", A3)), "Schinus areira", ISNUMBER(FIND("QY", A3)), "Quillaja saponaria", ISNUMBER(FIND("RM", A3)), "baccharis linearis", ISNUMBER(FIND("LT", A3)), "Lithraea caustica", ISNUMBER(FIND("AZ", A3)), "Azara dentata")</f>
        <v>Quillaja saponaria</v>
      </c>
      <c r="D3" s="4" t="str">
        <f t="shared" ref="D3:D46" si="3"> IFS(OR( ISNUMBER(FIND("CH", A3)), ISNUMBER(FIND("BE", A3)), ISNUMBER(FIND("HG", A3)), ISNUMBER(FIND("PM", A3)), ISNUMBER(FIND("QY", A3)), ISNUMBER(FIND("LT", A3)) ), "Árbol" ,OR( ISNUMBER(FIND("CY", A3)), ISNUMBER(FIND("CO", A3)), ISNUMBER(FIND("MC", A3)), ISNUMBER(FIND("CO", A3)), ISNUMBER(FIND("RM", A3)), ISNUMBER(FIND("AZ", A3)) ), "Arbusto") </f>
        <v>Árbol</v>
      </c>
      <c r="E3" s="6">
        <v>45822.0</v>
      </c>
      <c r="F3" s="7">
        <f t="shared" ref="F3:F46" si="4">DATEDIF(E3, TODAY(), "ym")</f>
        <v>4</v>
      </c>
      <c r="G3" s="8"/>
      <c r="H3" s="4" t="s">
        <v>12</v>
      </c>
      <c r="I3" s="9" t="s">
        <v>13</v>
      </c>
      <c r="J3" s="9" t="s">
        <v>14</v>
      </c>
      <c r="K3" s="4"/>
    </row>
    <row r="4" ht="22.5" customHeight="1">
      <c r="A4" s="3" t="s">
        <v>15</v>
      </c>
      <c r="B4" s="4" t="str">
        <f t="shared" si="1"/>
        <v>Colliguay</v>
      </c>
      <c r="C4" s="5" t="str">
        <f t="shared" si="2"/>
        <v>Colliguaja odorifera</v>
      </c>
      <c r="D4" s="4" t="str">
        <f t="shared" si="3"/>
        <v>Arbusto</v>
      </c>
      <c r="E4" s="6">
        <v>45829.0</v>
      </c>
      <c r="F4" s="7">
        <f t="shared" si="4"/>
        <v>4</v>
      </c>
      <c r="G4" s="7"/>
      <c r="H4" s="4" t="s">
        <v>16</v>
      </c>
      <c r="I4" s="9" t="s">
        <v>13</v>
      </c>
      <c r="J4" s="9" t="s">
        <v>17</v>
      </c>
      <c r="K4" s="4" t="s">
        <v>18</v>
      </c>
    </row>
    <row r="5" ht="22.5" customHeight="1">
      <c r="A5" s="3" t="s">
        <v>19</v>
      </c>
      <c r="B5" s="4" t="str">
        <f t="shared" si="1"/>
        <v>Colliguay</v>
      </c>
      <c r="C5" s="5" t="str">
        <f t="shared" si="2"/>
        <v>Colliguaja odorifera</v>
      </c>
      <c r="D5" s="4" t="str">
        <f t="shared" si="3"/>
        <v>Arbusto</v>
      </c>
      <c r="E5" s="6">
        <v>45829.0</v>
      </c>
      <c r="F5" s="7">
        <f t="shared" si="4"/>
        <v>4</v>
      </c>
      <c r="G5" s="7"/>
      <c r="H5" s="4" t="s">
        <v>20</v>
      </c>
      <c r="I5" s="9" t="s">
        <v>13</v>
      </c>
      <c r="J5" s="9" t="s">
        <v>17</v>
      </c>
      <c r="K5" s="4" t="s">
        <v>18</v>
      </c>
    </row>
    <row r="6" ht="22.5" customHeight="1">
      <c r="A6" s="3" t="s">
        <v>21</v>
      </c>
      <c r="B6" s="4" t="str">
        <f t="shared" si="1"/>
        <v>Coralillo</v>
      </c>
      <c r="C6" s="5" t="str">
        <f t="shared" si="2"/>
        <v>Lycium chilense</v>
      </c>
      <c r="D6" s="4" t="str">
        <f t="shared" si="3"/>
        <v>Arbusto</v>
      </c>
      <c r="E6" s="6">
        <v>45829.0</v>
      </c>
      <c r="F6" s="7">
        <f t="shared" si="4"/>
        <v>4</v>
      </c>
      <c r="G6" s="7"/>
      <c r="H6" s="4" t="s">
        <v>22</v>
      </c>
      <c r="I6" s="9" t="s">
        <v>13</v>
      </c>
      <c r="J6" s="9" t="s">
        <v>17</v>
      </c>
      <c r="K6" s="4" t="s">
        <v>18</v>
      </c>
    </row>
    <row r="7" ht="22.5" customHeight="1">
      <c r="A7" s="3" t="s">
        <v>23</v>
      </c>
      <c r="B7" s="4" t="str">
        <f t="shared" si="1"/>
        <v>Coralillo</v>
      </c>
      <c r="C7" s="5" t="str">
        <f t="shared" si="2"/>
        <v>Lycium chilense</v>
      </c>
      <c r="D7" s="4" t="str">
        <f t="shared" si="3"/>
        <v>Arbusto</v>
      </c>
      <c r="E7" s="6">
        <v>45829.0</v>
      </c>
      <c r="F7" s="7">
        <f t="shared" si="4"/>
        <v>4</v>
      </c>
      <c r="G7" s="7"/>
      <c r="H7" s="4" t="s">
        <v>24</v>
      </c>
      <c r="I7" s="9" t="s">
        <v>13</v>
      </c>
      <c r="J7" s="9" t="s">
        <v>17</v>
      </c>
      <c r="K7" s="4" t="s">
        <v>18</v>
      </c>
    </row>
    <row r="8" ht="22.5" customHeight="1">
      <c r="A8" s="3" t="s">
        <v>25</v>
      </c>
      <c r="B8" s="4" t="str">
        <f t="shared" si="1"/>
        <v>Malva de Cerro</v>
      </c>
      <c r="C8" s="5" t="str">
        <f t="shared" si="2"/>
        <v>Sphaeralcea obtusiloba</v>
      </c>
      <c r="D8" s="4" t="str">
        <f t="shared" si="3"/>
        <v>Arbusto</v>
      </c>
      <c r="E8" s="6">
        <v>45829.0</v>
      </c>
      <c r="F8" s="7">
        <f t="shared" si="4"/>
        <v>4</v>
      </c>
      <c r="G8" s="7"/>
      <c r="H8" s="4" t="s">
        <v>26</v>
      </c>
      <c r="I8" s="9" t="s">
        <v>13</v>
      </c>
      <c r="J8" s="9" t="s">
        <v>17</v>
      </c>
      <c r="K8" s="4" t="s">
        <v>18</v>
      </c>
    </row>
    <row r="9" ht="22.5" customHeight="1">
      <c r="A9" s="3" t="s">
        <v>27</v>
      </c>
      <c r="B9" s="4" t="str">
        <f t="shared" si="1"/>
        <v>Malva de Cerro</v>
      </c>
      <c r="C9" s="5" t="str">
        <f t="shared" si="2"/>
        <v>Sphaeralcea obtusiloba</v>
      </c>
      <c r="D9" s="4" t="str">
        <f t="shared" si="3"/>
        <v>Arbusto</v>
      </c>
      <c r="E9" s="6">
        <v>45829.0</v>
      </c>
      <c r="F9" s="7">
        <f t="shared" si="4"/>
        <v>4</v>
      </c>
      <c r="G9" s="7"/>
      <c r="H9" s="4" t="s">
        <v>28</v>
      </c>
      <c r="I9" s="9" t="s">
        <v>13</v>
      </c>
      <c r="J9" s="9" t="s">
        <v>17</v>
      </c>
      <c r="K9" s="4" t="s">
        <v>18</v>
      </c>
    </row>
    <row r="10" ht="22.5" customHeight="1">
      <c r="A10" s="3" t="s">
        <v>29</v>
      </c>
      <c r="B10" s="4" t="str">
        <f t="shared" si="1"/>
        <v>Romerillo</v>
      </c>
      <c r="C10" s="5" t="str">
        <f t="shared" si="2"/>
        <v>baccharis linearis</v>
      </c>
      <c r="D10" s="4" t="str">
        <f t="shared" si="3"/>
        <v>Arbusto</v>
      </c>
      <c r="E10" s="6">
        <v>45829.0</v>
      </c>
      <c r="F10" s="7">
        <f t="shared" si="4"/>
        <v>4</v>
      </c>
      <c r="G10" s="7"/>
      <c r="H10" s="4" t="s">
        <v>30</v>
      </c>
      <c r="I10" s="9" t="s">
        <v>13</v>
      </c>
      <c r="J10" s="9" t="s">
        <v>17</v>
      </c>
      <c r="K10" s="10"/>
    </row>
    <row r="11" ht="22.5" customHeight="1">
      <c r="A11" s="3" t="s">
        <v>31</v>
      </c>
      <c r="B11" s="4" t="str">
        <f t="shared" si="1"/>
        <v>Bollén</v>
      </c>
      <c r="C11" s="5" t="str">
        <f t="shared" si="2"/>
        <v>Kageneckia oblonga</v>
      </c>
      <c r="D11" s="11" t="str">
        <f t="shared" si="3"/>
        <v>Árbol</v>
      </c>
      <c r="E11" s="6">
        <v>45851.0</v>
      </c>
      <c r="F11" s="7">
        <f t="shared" si="4"/>
        <v>3</v>
      </c>
      <c r="G11" s="7"/>
      <c r="H11" s="4" t="s">
        <v>32</v>
      </c>
      <c r="I11" s="9" t="s">
        <v>13</v>
      </c>
      <c r="J11" s="9" t="s">
        <v>17</v>
      </c>
      <c r="K11" s="10"/>
    </row>
    <row r="12" ht="22.5" customHeight="1">
      <c r="A12" s="3" t="s">
        <v>33</v>
      </c>
      <c r="B12" s="4" t="str">
        <f t="shared" si="1"/>
        <v>Chañar</v>
      </c>
      <c r="C12" s="5" t="str">
        <f t="shared" si="2"/>
        <v>Geoffroea decorticans</v>
      </c>
      <c r="D12" s="4" t="str">
        <f t="shared" si="3"/>
        <v>Árbol</v>
      </c>
      <c r="E12" s="6">
        <v>45851.0</v>
      </c>
      <c r="F12" s="7">
        <f t="shared" si="4"/>
        <v>3</v>
      </c>
      <c r="G12" s="7"/>
      <c r="H12" s="4" t="s">
        <v>34</v>
      </c>
      <c r="I12" s="9" t="s">
        <v>13</v>
      </c>
      <c r="J12" s="9" t="s">
        <v>17</v>
      </c>
      <c r="K12" s="10"/>
    </row>
    <row r="13" ht="22.5" customHeight="1">
      <c r="A13" s="3" t="s">
        <v>35</v>
      </c>
      <c r="B13" s="4" t="str">
        <f t="shared" si="1"/>
        <v>Huingán</v>
      </c>
      <c r="C13" s="5" t="str">
        <f t="shared" si="2"/>
        <v>Schinus polygama</v>
      </c>
      <c r="D13" s="4" t="str">
        <f t="shared" si="3"/>
        <v>Árbol</v>
      </c>
      <c r="E13" s="6">
        <v>45851.0</v>
      </c>
      <c r="F13" s="7">
        <f t="shared" si="4"/>
        <v>3</v>
      </c>
      <c r="G13" s="7"/>
      <c r="H13" s="4" t="s">
        <v>36</v>
      </c>
      <c r="I13" s="9" t="s">
        <v>13</v>
      </c>
      <c r="J13" s="9" t="s">
        <v>17</v>
      </c>
      <c r="K13" s="10"/>
    </row>
    <row r="14" ht="22.5" customHeight="1">
      <c r="A14" s="3" t="s">
        <v>37</v>
      </c>
      <c r="B14" s="10" t="str">
        <f t="shared" si="1"/>
        <v>Azara</v>
      </c>
      <c r="C14" s="5" t="str">
        <f t="shared" si="2"/>
        <v>Azara dentata</v>
      </c>
      <c r="D14" s="4" t="str">
        <f t="shared" si="3"/>
        <v>Arbusto</v>
      </c>
      <c r="E14" s="6">
        <v>45872.0</v>
      </c>
      <c r="F14" s="7">
        <f t="shared" si="4"/>
        <v>2</v>
      </c>
      <c r="G14" s="7"/>
      <c r="H14" s="8" t="s">
        <v>12</v>
      </c>
      <c r="I14" s="9" t="s">
        <v>38</v>
      </c>
      <c r="J14" s="9" t="s">
        <v>17</v>
      </c>
      <c r="K14" s="10"/>
    </row>
    <row r="15" ht="22.5" customHeight="1">
      <c r="A15" s="3" t="s">
        <v>39</v>
      </c>
      <c r="B15" s="4" t="str">
        <f t="shared" si="1"/>
        <v>Colliguay</v>
      </c>
      <c r="C15" s="5" t="str">
        <f t="shared" si="2"/>
        <v>Colliguaja odorifera</v>
      </c>
      <c r="D15" s="4" t="str">
        <f t="shared" si="3"/>
        <v>Arbusto</v>
      </c>
      <c r="E15" s="6">
        <v>45872.0</v>
      </c>
      <c r="F15" s="7">
        <f t="shared" si="4"/>
        <v>2</v>
      </c>
      <c r="G15" s="7"/>
      <c r="H15" s="4" t="s">
        <v>40</v>
      </c>
      <c r="I15" s="9" t="s">
        <v>38</v>
      </c>
      <c r="J15" s="9" t="s">
        <v>17</v>
      </c>
      <c r="K15" s="10"/>
    </row>
    <row r="16" ht="22.5" customHeight="1">
      <c r="A16" s="3" t="s">
        <v>41</v>
      </c>
      <c r="B16" s="4" t="str">
        <f t="shared" si="1"/>
        <v>Huingán</v>
      </c>
      <c r="C16" s="5" t="str">
        <f t="shared" si="2"/>
        <v>Schinus polygama</v>
      </c>
      <c r="D16" s="4" t="str">
        <f t="shared" si="3"/>
        <v>Árbol</v>
      </c>
      <c r="E16" s="6">
        <v>45872.0</v>
      </c>
      <c r="F16" s="7">
        <f t="shared" si="4"/>
        <v>2</v>
      </c>
      <c r="G16" s="7"/>
      <c r="H16" s="4" t="s">
        <v>42</v>
      </c>
      <c r="I16" s="9" t="s">
        <v>38</v>
      </c>
      <c r="J16" s="9" t="s">
        <v>17</v>
      </c>
      <c r="K16" s="10"/>
    </row>
    <row r="17" ht="22.5" customHeight="1">
      <c r="A17" s="3" t="s">
        <v>43</v>
      </c>
      <c r="B17" s="4" t="str">
        <f t="shared" si="1"/>
        <v>Huingán</v>
      </c>
      <c r="C17" s="5" t="str">
        <f t="shared" si="2"/>
        <v>Schinus polygama</v>
      </c>
      <c r="D17" s="4" t="str">
        <f t="shared" si="3"/>
        <v>Árbol</v>
      </c>
      <c r="E17" s="6">
        <v>45872.0</v>
      </c>
      <c r="F17" s="7">
        <f t="shared" si="4"/>
        <v>2</v>
      </c>
      <c r="G17" s="7"/>
      <c r="H17" s="4" t="s">
        <v>44</v>
      </c>
      <c r="I17" s="9" t="s">
        <v>38</v>
      </c>
      <c r="J17" s="9" t="s">
        <v>17</v>
      </c>
      <c r="K17" s="10"/>
    </row>
    <row r="18" ht="22.5" customHeight="1">
      <c r="A18" s="3" t="s">
        <v>45</v>
      </c>
      <c r="B18" s="4" t="str">
        <f t="shared" si="1"/>
        <v>Huingán</v>
      </c>
      <c r="C18" s="5" t="str">
        <f t="shared" si="2"/>
        <v>Schinus polygama</v>
      </c>
      <c r="D18" s="4" t="str">
        <f t="shared" si="3"/>
        <v>Árbol</v>
      </c>
      <c r="E18" s="6">
        <v>45872.0</v>
      </c>
      <c r="F18" s="7">
        <f t="shared" si="4"/>
        <v>2</v>
      </c>
      <c r="G18" s="7"/>
      <c r="H18" s="4" t="s">
        <v>46</v>
      </c>
      <c r="I18" s="9" t="s">
        <v>38</v>
      </c>
      <c r="J18" s="9" t="s">
        <v>17</v>
      </c>
      <c r="K18" s="10"/>
    </row>
    <row r="19" ht="22.5" customHeight="1">
      <c r="A19" s="3" t="s">
        <v>47</v>
      </c>
      <c r="B19" s="4" t="str">
        <f t="shared" si="1"/>
        <v>Huingán</v>
      </c>
      <c r="C19" s="5" t="str">
        <f t="shared" si="2"/>
        <v>Schinus polygama</v>
      </c>
      <c r="D19" s="4" t="str">
        <f t="shared" si="3"/>
        <v>Árbol</v>
      </c>
      <c r="E19" s="6">
        <v>45872.0</v>
      </c>
      <c r="F19" s="7">
        <f t="shared" si="4"/>
        <v>2</v>
      </c>
      <c r="G19" s="7"/>
      <c r="H19" s="4" t="s">
        <v>48</v>
      </c>
      <c r="I19" s="9" t="s">
        <v>38</v>
      </c>
      <c r="J19" s="9" t="s">
        <v>17</v>
      </c>
      <c r="K19" s="10"/>
    </row>
    <row r="20" ht="22.5" customHeight="1">
      <c r="A20" s="3" t="s">
        <v>49</v>
      </c>
      <c r="B20" s="4" t="str">
        <f t="shared" si="1"/>
        <v>Huingán</v>
      </c>
      <c r="C20" s="5" t="str">
        <f t="shared" si="2"/>
        <v>Schinus polygama</v>
      </c>
      <c r="D20" s="4" t="str">
        <f t="shared" si="3"/>
        <v>Árbol</v>
      </c>
      <c r="E20" s="6">
        <v>45872.0</v>
      </c>
      <c r="F20" s="7">
        <f t="shared" si="4"/>
        <v>2</v>
      </c>
      <c r="G20" s="7"/>
      <c r="H20" s="4" t="s">
        <v>50</v>
      </c>
      <c r="I20" s="9" t="s">
        <v>38</v>
      </c>
      <c r="J20" s="9" t="s">
        <v>17</v>
      </c>
      <c r="K20" s="10"/>
    </row>
    <row r="21" ht="22.5" customHeight="1">
      <c r="A21" s="3" t="s">
        <v>51</v>
      </c>
      <c r="B21" s="10" t="str">
        <f t="shared" si="1"/>
        <v>Litre</v>
      </c>
      <c r="C21" s="5" t="str">
        <f t="shared" si="2"/>
        <v>Lithraea caustica</v>
      </c>
      <c r="D21" s="4" t="str">
        <f t="shared" si="3"/>
        <v>Árbol</v>
      </c>
      <c r="E21" s="6">
        <v>45872.0</v>
      </c>
      <c r="F21" s="7">
        <f t="shared" si="4"/>
        <v>2</v>
      </c>
      <c r="G21" s="7"/>
      <c r="H21" s="4" t="s">
        <v>50</v>
      </c>
      <c r="I21" s="9" t="s">
        <v>38</v>
      </c>
      <c r="J21" s="9" t="s">
        <v>17</v>
      </c>
      <c r="K21" s="10"/>
    </row>
    <row r="22" ht="22.5" customHeight="1">
      <c r="A22" s="3" t="s">
        <v>52</v>
      </c>
      <c r="B22" s="10" t="str">
        <f t="shared" si="1"/>
        <v>Litre</v>
      </c>
      <c r="C22" s="5" t="str">
        <f t="shared" si="2"/>
        <v>Lithraea caustica</v>
      </c>
      <c r="D22" s="4" t="str">
        <f t="shared" si="3"/>
        <v>Árbol</v>
      </c>
      <c r="E22" s="6">
        <v>45872.0</v>
      </c>
      <c r="F22" s="7">
        <f t="shared" si="4"/>
        <v>2</v>
      </c>
      <c r="G22" s="7"/>
      <c r="H22" s="4" t="s">
        <v>53</v>
      </c>
      <c r="I22" s="9" t="s">
        <v>38</v>
      </c>
      <c r="J22" s="9" t="s">
        <v>17</v>
      </c>
      <c r="K22" s="10"/>
    </row>
    <row r="23" ht="22.5" customHeight="1">
      <c r="A23" s="3" t="s">
        <v>54</v>
      </c>
      <c r="B23" s="10" t="str">
        <f t="shared" si="1"/>
        <v>Litre</v>
      </c>
      <c r="C23" s="5" t="str">
        <f t="shared" si="2"/>
        <v>Lithraea caustica</v>
      </c>
      <c r="D23" s="4" t="str">
        <f t="shared" si="3"/>
        <v>Árbol</v>
      </c>
      <c r="E23" s="6">
        <v>45872.0</v>
      </c>
      <c r="F23" s="7">
        <f t="shared" si="4"/>
        <v>2</v>
      </c>
      <c r="G23" s="7"/>
      <c r="H23" s="4" t="s">
        <v>55</v>
      </c>
      <c r="I23" s="9" t="s">
        <v>38</v>
      </c>
      <c r="J23" s="9" t="s">
        <v>17</v>
      </c>
      <c r="K23" s="10"/>
    </row>
    <row r="24" ht="22.5" customHeight="1">
      <c r="A24" s="3" t="s">
        <v>56</v>
      </c>
      <c r="B24" s="4" t="str">
        <f t="shared" si="1"/>
        <v>Pimiento</v>
      </c>
      <c r="C24" s="5" t="str">
        <f t="shared" si="2"/>
        <v>Schinus areira</v>
      </c>
      <c r="D24" s="4" t="str">
        <f t="shared" si="3"/>
        <v>Árbol</v>
      </c>
      <c r="E24" s="6">
        <v>45872.0</v>
      </c>
      <c r="F24" s="7">
        <f t="shared" si="4"/>
        <v>2</v>
      </c>
      <c r="G24" s="7"/>
      <c r="H24" s="4" t="s">
        <v>50</v>
      </c>
      <c r="I24" s="9" t="s">
        <v>38</v>
      </c>
      <c r="J24" s="9" t="s">
        <v>17</v>
      </c>
      <c r="K24" s="10"/>
    </row>
    <row r="25" ht="22.5" customHeight="1">
      <c r="A25" s="3" t="s">
        <v>57</v>
      </c>
      <c r="B25" s="4" t="str">
        <f t="shared" si="1"/>
        <v>Quillay</v>
      </c>
      <c r="C25" s="5" t="str">
        <f t="shared" si="2"/>
        <v>Quillaja saponaria</v>
      </c>
      <c r="D25" s="4" t="str">
        <f t="shared" si="3"/>
        <v>Árbol</v>
      </c>
      <c r="E25" s="6">
        <v>45872.0</v>
      </c>
      <c r="F25" s="7">
        <f t="shared" si="4"/>
        <v>2</v>
      </c>
      <c r="G25" s="8"/>
      <c r="H25" s="4" t="s">
        <v>50</v>
      </c>
      <c r="I25" s="9" t="s">
        <v>38</v>
      </c>
      <c r="J25" s="9" t="s">
        <v>17</v>
      </c>
      <c r="K25" s="10"/>
    </row>
    <row r="26" ht="22.5" customHeight="1">
      <c r="A26" s="3" t="s">
        <v>58</v>
      </c>
      <c r="B26" s="4" t="str">
        <f t="shared" si="1"/>
        <v>Quillay</v>
      </c>
      <c r="C26" s="5" t="str">
        <f t="shared" si="2"/>
        <v>Quillaja saponaria</v>
      </c>
      <c r="D26" s="4" t="str">
        <f t="shared" si="3"/>
        <v>Árbol</v>
      </c>
      <c r="E26" s="6">
        <v>45872.0</v>
      </c>
      <c r="F26" s="7">
        <f t="shared" si="4"/>
        <v>2</v>
      </c>
      <c r="G26" s="8"/>
      <c r="H26" s="4" t="s">
        <v>50</v>
      </c>
      <c r="I26" s="9" t="s">
        <v>38</v>
      </c>
      <c r="J26" s="9" t="s">
        <v>17</v>
      </c>
      <c r="K26" s="10"/>
    </row>
    <row r="27" ht="22.5" customHeight="1">
      <c r="A27" s="3" t="s">
        <v>59</v>
      </c>
      <c r="B27" s="4" t="str">
        <f t="shared" si="1"/>
        <v>Azara</v>
      </c>
      <c r="C27" s="5" t="str">
        <f t="shared" si="2"/>
        <v>Azara dentata</v>
      </c>
      <c r="D27" s="4" t="str">
        <f t="shared" si="3"/>
        <v>Arbusto</v>
      </c>
      <c r="E27" s="6">
        <v>45879.0</v>
      </c>
      <c r="F27" s="7">
        <f t="shared" si="4"/>
        <v>2</v>
      </c>
      <c r="G27" s="8"/>
      <c r="H27" s="4"/>
      <c r="I27" s="9" t="s">
        <v>38</v>
      </c>
      <c r="J27" s="9" t="s">
        <v>17</v>
      </c>
      <c r="K27" s="4" t="s">
        <v>60</v>
      </c>
    </row>
    <row r="28" ht="22.5" customHeight="1">
      <c r="A28" s="3" t="s">
        <v>61</v>
      </c>
      <c r="B28" s="4" t="str">
        <f t="shared" si="1"/>
        <v>Colliguay</v>
      </c>
      <c r="C28" s="5" t="str">
        <f t="shared" si="2"/>
        <v>Colliguaja odorifera</v>
      </c>
      <c r="D28" s="4" t="str">
        <f t="shared" si="3"/>
        <v>Arbusto</v>
      </c>
      <c r="E28" s="6">
        <v>45879.0</v>
      </c>
      <c r="F28" s="7">
        <f t="shared" si="4"/>
        <v>2</v>
      </c>
      <c r="G28" s="8"/>
      <c r="H28" s="4"/>
      <c r="I28" s="9" t="s">
        <v>38</v>
      </c>
      <c r="J28" s="9" t="s">
        <v>17</v>
      </c>
      <c r="K28" s="4" t="s">
        <v>18</v>
      </c>
    </row>
    <row r="29" ht="22.5" customHeight="1">
      <c r="A29" s="3" t="s">
        <v>62</v>
      </c>
      <c r="B29" s="4" t="str">
        <f t="shared" si="1"/>
        <v>Huingán</v>
      </c>
      <c r="C29" s="5" t="str">
        <f t="shared" si="2"/>
        <v>Schinus polygama</v>
      </c>
      <c r="D29" s="4" t="str">
        <f t="shared" si="3"/>
        <v>Árbol</v>
      </c>
      <c r="E29" s="6">
        <v>45879.0</v>
      </c>
      <c r="F29" s="7">
        <f t="shared" si="4"/>
        <v>2</v>
      </c>
      <c r="G29" s="8"/>
      <c r="H29" s="4"/>
      <c r="I29" s="9" t="s">
        <v>38</v>
      </c>
      <c r="J29" s="9" t="s">
        <v>17</v>
      </c>
      <c r="K29" s="4" t="s">
        <v>60</v>
      </c>
    </row>
    <row r="30" ht="22.5" customHeight="1">
      <c r="A30" s="3" t="s">
        <v>63</v>
      </c>
      <c r="B30" s="4" t="str">
        <f t="shared" si="1"/>
        <v>Huingán</v>
      </c>
      <c r="C30" s="5" t="str">
        <f t="shared" si="2"/>
        <v>Schinus polygama</v>
      </c>
      <c r="D30" s="4" t="str">
        <f t="shared" si="3"/>
        <v>Árbol</v>
      </c>
      <c r="E30" s="6">
        <v>45879.0</v>
      </c>
      <c r="F30" s="7">
        <f t="shared" si="4"/>
        <v>2</v>
      </c>
      <c r="G30" s="8"/>
      <c r="H30" s="4"/>
      <c r="I30" s="9" t="s">
        <v>38</v>
      </c>
      <c r="J30" s="9" t="s">
        <v>17</v>
      </c>
      <c r="K30" s="4" t="s">
        <v>60</v>
      </c>
    </row>
    <row r="31" ht="22.5" customHeight="1">
      <c r="A31" s="3" t="s">
        <v>64</v>
      </c>
      <c r="B31" s="4" t="str">
        <f t="shared" si="1"/>
        <v>Huingán</v>
      </c>
      <c r="C31" s="5" t="str">
        <f t="shared" si="2"/>
        <v>Schinus polygama</v>
      </c>
      <c r="D31" s="4" t="str">
        <f t="shared" si="3"/>
        <v>Árbol</v>
      </c>
      <c r="E31" s="6">
        <v>45879.0</v>
      </c>
      <c r="F31" s="7">
        <f t="shared" si="4"/>
        <v>2</v>
      </c>
      <c r="G31" s="8"/>
      <c r="H31" s="4"/>
      <c r="I31" s="9" t="s">
        <v>38</v>
      </c>
      <c r="J31" s="9" t="s">
        <v>17</v>
      </c>
      <c r="K31" s="4" t="s">
        <v>60</v>
      </c>
    </row>
    <row r="32" ht="22.5" customHeight="1">
      <c r="A32" s="3" t="s">
        <v>65</v>
      </c>
      <c r="B32" s="4" t="str">
        <f t="shared" si="1"/>
        <v>Huingán</v>
      </c>
      <c r="C32" s="5" t="str">
        <f t="shared" si="2"/>
        <v>Schinus polygama</v>
      </c>
      <c r="D32" s="4" t="str">
        <f t="shared" si="3"/>
        <v>Árbol</v>
      </c>
      <c r="E32" s="6">
        <v>45879.0</v>
      </c>
      <c r="F32" s="7">
        <f t="shared" si="4"/>
        <v>2</v>
      </c>
      <c r="G32" s="8"/>
      <c r="H32" s="4"/>
      <c r="I32" s="9" t="s">
        <v>38</v>
      </c>
      <c r="J32" s="9" t="s">
        <v>17</v>
      </c>
      <c r="K32" s="4" t="s">
        <v>18</v>
      </c>
    </row>
    <row r="33" ht="22.5" customHeight="1">
      <c r="A33" s="3" t="s">
        <v>66</v>
      </c>
      <c r="B33" s="4" t="str">
        <f t="shared" si="1"/>
        <v>Azara</v>
      </c>
      <c r="C33" s="5" t="str">
        <f t="shared" si="2"/>
        <v>Azara dentata</v>
      </c>
      <c r="D33" s="4" t="str">
        <f t="shared" si="3"/>
        <v>Arbusto</v>
      </c>
      <c r="E33" s="6">
        <v>45893.0</v>
      </c>
      <c r="F33" s="7">
        <f t="shared" si="4"/>
        <v>2</v>
      </c>
      <c r="G33" s="8"/>
      <c r="H33" s="4"/>
      <c r="I33" s="9" t="s">
        <v>38</v>
      </c>
      <c r="J33" s="9"/>
      <c r="K33" s="4"/>
    </row>
    <row r="34" ht="22.5" customHeight="1">
      <c r="A34" s="3" t="s">
        <v>66</v>
      </c>
      <c r="B34" s="4" t="str">
        <f t="shared" si="1"/>
        <v>Azara</v>
      </c>
      <c r="C34" s="5" t="str">
        <f t="shared" si="2"/>
        <v>Azara dentata</v>
      </c>
      <c r="D34" s="4" t="str">
        <f t="shared" si="3"/>
        <v>Arbusto</v>
      </c>
      <c r="E34" s="6">
        <v>45893.0</v>
      </c>
      <c r="F34" s="7">
        <f t="shared" si="4"/>
        <v>2</v>
      </c>
      <c r="G34" s="8"/>
      <c r="H34" s="4"/>
      <c r="I34" s="9" t="s">
        <v>38</v>
      </c>
      <c r="J34" s="12"/>
      <c r="K34" s="4"/>
    </row>
    <row r="35" ht="22.5" customHeight="1">
      <c r="A35" s="3" t="s">
        <v>67</v>
      </c>
      <c r="B35" s="4" t="str">
        <f t="shared" si="1"/>
        <v>Huingán</v>
      </c>
      <c r="C35" s="5" t="str">
        <f t="shared" si="2"/>
        <v>Schinus polygama</v>
      </c>
      <c r="D35" s="4" t="str">
        <f t="shared" si="3"/>
        <v>Árbol</v>
      </c>
      <c r="E35" s="6">
        <v>45893.0</v>
      </c>
      <c r="F35" s="7">
        <f t="shared" si="4"/>
        <v>2</v>
      </c>
      <c r="G35" s="8"/>
      <c r="H35" s="4"/>
      <c r="I35" s="9" t="s">
        <v>38</v>
      </c>
      <c r="J35" s="9"/>
      <c r="K35" s="4"/>
    </row>
    <row r="36" ht="22.5" customHeight="1">
      <c r="A36" s="3" t="s">
        <v>68</v>
      </c>
      <c r="B36" s="4" t="str">
        <f t="shared" si="1"/>
        <v>Litre</v>
      </c>
      <c r="C36" s="5" t="str">
        <f t="shared" si="2"/>
        <v>Lithraea caustica</v>
      </c>
      <c r="D36" s="4" t="str">
        <f t="shared" si="3"/>
        <v>Árbol</v>
      </c>
      <c r="E36" s="6">
        <v>45893.0</v>
      </c>
      <c r="F36" s="7">
        <f t="shared" si="4"/>
        <v>2</v>
      </c>
      <c r="G36" s="8"/>
      <c r="H36" s="4"/>
      <c r="I36" s="9" t="s">
        <v>38</v>
      </c>
      <c r="J36" s="9"/>
      <c r="K36" s="4"/>
    </row>
    <row r="37" ht="22.5" customHeight="1">
      <c r="A37" s="3" t="s">
        <v>69</v>
      </c>
      <c r="B37" s="4" t="str">
        <f t="shared" si="1"/>
        <v>Litre</v>
      </c>
      <c r="C37" s="5" t="str">
        <f t="shared" si="2"/>
        <v>Lithraea caustica</v>
      </c>
      <c r="D37" s="4" t="str">
        <f t="shared" si="3"/>
        <v>Árbol</v>
      </c>
      <c r="E37" s="6">
        <v>45893.0</v>
      </c>
      <c r="F37" s="7">
        <f t="shared" si="4"/>
        <v>2</v>
      </c>
      <c r="G37" s="8"/>
      <c r="H37" s="4"/>
      <c r="I37" s="9" t="s">
        <v>38</v>
      </c>
      <c r="J37" s="9"/>
      <c r="K37" s="4"/>
    </row>
    <row r="38" ht="22.5" customHeight="1">
      <c r="A38" s="3" t="s">
        <v>70</v>
      </c>
      <c r="B38" s="4" t="str">
        <f t="shared" si="1"/>
        <v>Litre</v>
      </c>
      <c r="C38" s="5" t="str">
        <f t="shared" si="2"/>
        <v>Lithraea caustica</v>
      </c>
      <c r="D38" s="4" t="str">
        <f t="shared" si="3"/>
        <v>Árbol</v>
      </c>
      <c r="E38" s="6">
        <v>45893.0</v>
      </c>
      <c r="F38" s="7">
        <f t="shared" si="4"/>
        <v>2</v>
      </c>
      <c r="G38" s="8"/>
      <c r="H38" s="4"/>
      <c r="I38" s="9" t="s">
        <v>38</v>
      </c>
      <c r="J38" s="9"/>
      <c r="K38" s="4"/>
    </row>
    <row r="39" ht="22.5" customHeight="1">
      <c r="A39" s="3" t="s">
        <v>71</v>
      </c>
      <c r="B39" s="4" t="str">
        <f t="shared" si="1"/>
        <v>Litre</v>
      </c>
      <c r="C39" s="5" t="str">
        <f t="shared" si="2"/>
        <v>Lithraea caustica</v>
      </c>
      <c r="D39" s="4" t="str">
        <f t="shared" si="3"/>
        <v>Árbol</v>
      </c>
      <c r="E39" s="6">
        <v>45893.0</v>
      </c>
      <c r="F39" s="7">
        <f t="shared" si="4"/>
        <v>2</v>
      </c>
      <c r="G39" s="8"/>
      <c r="H39" s="4"/>
      <c r="I39" s="9" t="s">
        <v>38</v>
      </c>
      <c r="J39" s="9"/>
      <c r="K39" s="4"/>
    </row>
    <row r="40" ht="22.5" customHeight="1">
      <c r="A40" s="3" t="s">
        <v>72</v>
      </c>
      <c r="B40" s="4" t="str">
        <f t="shared" si="1"/>
        <v>Litre</v>
      </c>
      <c r="C40" s="5" t="str">
        <f t="shared" si="2"/>
        <v>Lithraea caustica</v>
      </c>
      <c r="D40" s="4" t="str">
        <f t="shared" si="3"/>
        <v>Árbol</v>
      </c>
      <c r="E40" s="6">
        <v>45893.0</v>
      </c>
      <c r="F40" s="7">
        <f t="shared" si="4"/>
        <v>2</v>
      </c>
      <c r="G40" s="8"/>
      <c r="H40" s="4"/>
      <c r="I40" s="9" t="s">
        <v>38</v>
      </c>
      <c r="J40" s="9"/>
      <c r="K40" s="4"/>
    </row>
    <row r="41" ht="22.5" customHeight="1">
      <c r="A41" s="3" t="s">
        <v>73</v>
      </c>
      <c r="B41" s="4" t="str">
        <f t="shared" si="1"/>
        <v>Litre</v>
      </c>
      <c r="C41" s="5" t="str">
        <f t="shared" si="2"/>
        <v>Lithraea caustica</v>
      </c>
      <c r="D41" s="4" t="str">
        <f t="shared" si="3"/>
        <v>Árbol</v>
      </c>
      <c r="E41" s="6">
        <v>45893.0</v>
      </c>
      <c r="F41" s="7">
        <f t="shared" si="4"/>
        <v>2</v>
      </c>
      <c r="G41" s="8"/>
      <c r="H41" s="4"/>
      <c r="I41" s="9" t="s">
        <v>38</v>
      </c>
      <c r="J41" s="9"/>
      <c r="K41" s="4"/>
    </row>
    <row r="42" ht="22.5" customHeight="1">
      <c r="A42" s="3" t="s">
        <v>74</v>
      </c>
      <c r="B42" s="4" t="str">
        <f t="shared" si="1"/>
        <v>Pimiento</v>
      </c>
      <c r="C42" s="5" t="str">
        <f t="shared" si="2"/>
        <v>Schinus areira</v>
      </c>
      <c r="D42" s="4" t="str">
        <f t="shared" si="3"/>
        <v>Árbol</v>
      </c>
      <c r="E42" s="6">
        <v>45893.0</v>
      </c>
      <c r="F42" s="7">
        <f t="shared" si="4"/>
        <v>2</v>
      </c>
      <c r="G42" s="8"/>
      <c r="H42" s="4"/>
      <c r="I42" s="9" t="s">
        <v>38</v>
      </c>
      <c r="J42" s="9"/>
      <c r="K42" s="4"/>
    </row>
    <row r="43" ht="22.5" customHeight="1">
      <c r="A43" s="3" t="s">
        <v>75</v>
      </c>
      <c r="B43" s="4" t="str">
        <f t="shared" si="1"/>
        <v>Pimiento</v>
      </c>
      <c r="C43" s="5" t="str">
        <f t="shared" si="2"/>
        <v>Schinus areira</v>
      </c>
      <c r="D43" s="4" t="str">
        <f t="shared" si="3"/>
        <v>Árbol</v>
      </c>
      <c r="E43" s="6">
        <v>45893.0</v>
      </c>
      <c r="F43" s="7">
        <f t="shared" si="4"/>
        <v>2</v>
      </c>
      <c r="G43" s="8"/>
      <c r="H43" s="4"/>
      <c r="I43" s="9" t="s">
        <v>38</v>
      </c>
      <c r="J43" s="9"/>
      <c r="K43" s="4"/>
    </row>
    <row r="44" ht="22.5" customHeight="1">
      <c r="A44" s="3" t="s">
        <v>76</v>
      </c>
      <c r="B44" s="4" t="str">
        <f t="shared" si="1"/>
        <v>Pimiento</v>
      </c>
      <c r="C44" s="5" t="str">
        <f t="shared" si="2"/>
        <v>Schinus areira</v>
      </c>
      <c r="D44" s="4" t="str">
        <f t="shared" si="3"/>
        <v>Árbol</v>
      </c>
      <c r="E44" s="6">
        <v>45893.0</v>
      </c>
      <c r="F44" s="7">
        <f t="shared" si="4"/>
        <v>2</v>
      </c>
      <c r="G44" s="8"/>
      <c r="H44" s="4"/>
      <c r="I44" s="9" t="s">
        <v>38</v>
      </c>
      <c r="J44" s="9"/>
      <c r="K44" s="4"/>
    </row>
    <row r="45" ht="22.5" customHeight="1">
      <c r="A45" s="3" t="s">
        <v>77</v>
      </c>
      <c r="B45" s="4" t="str">
        <f t="shared" si="1"/>
        <v>Quillay</v>
      </c>
      <c r="C45" s="5" t="str">
        <f t="shared" si="2"/>
        <v>Quillaja saponaria</v>
      </c>
      <c r="D45" s="4" t="str">
        <f t="shared" si="3"/>
        <v>Árbol</v>
      </c>
      <c r="E45" s="6">
        <v>45893.0</v>
      </c>
      <c r="F45" s="7">
        <f t="shared" si="4"/>
        <v>2</v>
      </c>
      <c r="G45" s="8"/>
      <c r="H45" s="4"/>
      <c r="I45" s="9" t="s">
        <v>38</v>
      </c>
      <c r="J45" s="9"/>
      <c r="K45" s="4"/>
    </row>
    <row r="46" ht="22.5" customHeight="1">
      <c r="A46" s="3" t="s">
        <v>77</v>
      </c>
      <c r="B46" s="4" t="str">
        <f t="shared" si="1"/>
        <v>Quillay</v>
      </c>
      <c r="C46" s="5" t="str">
        <f t="shared" si="2"/>
        <v>Quillaja saponaria</v>
      </c>
      <c r="D46" s="4" t="str">
        <f t="shared" si="3"/>
        <v>Árbol</v>
      </c>
      <c r="E46" s="6">
        <v>45893.0</v>
      </c>
      <c r="F46" s="7">
        <f t="shared" si="4"/>
        <v>2</v>
      </c>
      <c r="G46" s="8"/>
      <c r="H46" s="4"/>
      <c r="I46" s="9" t="s">
        <v>38</v>
      </c>
      <c r="J46" s="9"/>
      <c r="K46" s="4"/>
    </row>
  </sheetData>
  <conditionalFormatting sqref="D3:D46">
    <cfRule type="cellIs" dxfId="5" priority="1" operator="equal">
      <formula>"Árbol"</formula>
    </cfRule>
  </conditionalFormatting>
  <conditionalFormatting sqref="D3:D46">
    <cfRule type="cellIs" dxfId="6" priority="2" operator="equal">
      <formula>"Arbusto"</formula>
    </cfRule>
  </conditionalFormatting>
  <conditionalFormatting sqref="D3:D46">
    <cfRule type="cellIs" dxfId="7" priority="3" operator="equal">
      <formula>"Herbácea"</formula>
    </cfRule>
  </conditionalFormatting>
  <dataValidations>
    <dataValidation type="list" allowBlank="1" sqref="J3:J46">
      <formula1>"Vivo,Muerto,Robado/vandalizado"</formula1>
    </dataValidation>
    <dataValidation type="list" allowBlank="1" sqref="I3:I46">
      <formula1>"Pumahuida,Pumahuida (D),Propia"</formula1>
    </dataValidation>
    <dataValidation type="custom" allowBlank="1" showDropDown="1" sqref="F3:F46">
      <formula1>AND(ISNUMBER(F3),(NOT(OR(NOT(ISERROR(DATEVALUE(F3))), AND(ISNUMBER(F3), LEFT(CELL("format", F3))="D")))))</formula1>
    </dataValidation>
    <dataValidation type="custom" allowBlank="1" showDropDown="1" sqref="E3:E46">
      <formula1>OR(NOT(ISERROR(DATEVALUE(E3))), AND(ISNUMBER(E3), LEFT(CELL("format", E3))="D"))</formula1>
    </dataValidation>
    <dataValidation allowBlank="1" showDropDown="1" sqref="A3:C46 K3:K46"/>
    <dataValidation type="custom" allowBlank="1" showDropDown="1" sqref="G3:G46">
      <formula1>AND(ISNUMBER(G3),(NOT(OR(NOT(ISERROR(DATEVALUE(G3))), AND(ISNUMBER(G3), LEFT(CELL("format", G3))="D")))))</formula1>
    </dataValidation>
    <dataValidation allowBlank="1" showDropDown="1" sqref="D3:D46 H3:H46"/>
  </dataValidations>
  <drawing r:id="rId4"/>
  <legacyDrawing r:id="rId5"/>
  <tableParts count="1">
    <tablePart r:id="rId7"/>
  </tableParts>
</worksheet>
</file>